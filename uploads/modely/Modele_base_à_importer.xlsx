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lotra\Documents\"/>
    </mc:Choice>
  </mc:AlternateContent>
  <xr:revisionPtr revIDLastSave="0" documentId="13_ncr:1_{26C88A20-6963-4B7D-9513-390B0F769036}" xr6:coauthVersionLast="47" xr6:coauthVersionMax="47" xr10:uidLastSave="{00000000-0000-0000-0000-000000000000}"/>
  <bookViews>
    <workbookView xWindow="-120" yWindow="-120" windowWidth="24240" windowHeight="13290" xr2:uid="{FAA7B2A3-1A35-4464-8B46-BA05FF4CEC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I4" i="1"/>
  <c r="G4" i="1"/>
  <c r="T3" i="1"/>
  <c r="I3" i="1"/>
  <c r="G3" i="1"/>
  <c r="T2" i="1"/>
  <c r="I2" i="1"/>
  <c r="G2" i="1"/>
</calcChain>
</file>

<file path=xl/sharedStrings.xml><?xml version="1.0" encoding="utf-8"?>
<sst xmlns="http://schemas.openxmlformats.org/spreadsheetml/2006/main" count="134" uniqueCount="105">
  <si>
    <t>Mle</t>
  </si>
  <si>
    <t>Noms</t>
  </si>
  <si>
    <t xml:space="preserve"> Prenoms</t>
  </si>
  <si>
    <t xml:space="preserve"> Fonction</t>
  </si>
  <si>
    <t xml:space="preserve"> Departement</t>
  </si>
  <si>
    <t xml:space="preserve"> Sexe</t>
  </si>
  <si>
    <t>Civilité</t>
  </si>
  <si>
    <t>Date d'embauche</t>
  </si>
  <si>
    <t>Anciennité</t>
  </si>
  <si>
    <t>Date de l'avenant</t>
  </si>
  <si>
    <t xml:space="preserve">ancien poste </t>
  </si>
  <si>
    <t>Adresse</t>
  </si>
  <si>
    <t xml:space="preserve"> Téléphone</t>
  </si>
  <si>
    <t>Nationalité</t>
  </si>
  <si>
    <t xml:space="preserve"> Categorie</t>
  </si>
  <si>
    <t xml:space="preserve">Type de Contrat </t>
  </si>
  <si>
    <t>Groupe</t>
  </si>
  <si>
    <t>Date de naissance</t>
  </si>
  <si>
    <t>Lieu de naissance</t>
  </si>
  <si>
    <t>Age</t>
  </si>
  <si>
    <t>CIN</t>
  </si>
  <si>
    <t xml:space="preserve">Date CIN </t>
  </si>
  <si>
    <t>Lieu CIN</t>
  </si>
  <si>
    <t xml:space="preserve"> N° Cnaps</t>
  </si>
  <si>
    <t>Handycap</t>
  </si>
  <si>
    <t>NOM ET PRENOM</t>
  </si>
  <si>
    <t>CONTACT</t>
  </si>
  <si>
    <t>ADRESSE</t>
  </si>
  <si>
    <t>Nom du père</t>
  </si>
  <si>
    <t xml:space="preserve">Nom de la Mère </t>
  </si>
  <si>
    <t>Situation</t>
  </si>
  <si>
    <t>Nom &amp; prénom(s) conjoint (e)</t>
  </si>
  <si>
    <t>Nb d'enfant</t>
  </si>
  <si>
    <t>Nom &amp; Prénom (s)</t>
  </si>
  <si>
    <t xml:space="preserve">Date de naissance </t>
  </si>
  <si>
    <t xml:space="preserve">sexe </t>
  </si>
  <si>
    <t>Fin PE 1</t>
  </si>
  <si>
    <t>Décision 1</t>
  </si>
  <si>
    <t>Fin PE 2</t>
  </si>
  <si>
    <t>Décision 2</t>
  </si>
  <si>
    <t>Date confirmation</t>
  </si>
  <si>
    <t>Remarque</t>
  </si>
  <si>
    <t>Nouveau poste</t>
  </si>
  <si>
    <t>Type de mobilité</t>
  </si>
  <si>
    <t>Date de confirmation</t>
  </si>
  <si>
    <t>OBS Generale</t>
  </si>
  <si>
    <t>Direction</t>
  </si>
  <si>
    <t>M</t>
  </si>
  <si>
    <t>Malagasy</t>
  </si>
  <si>
    <t>HC</t>
  </si>
  <si>
    <t>CDI</t>
  </si>
  <si>
    <t>TANA I</t>
  </si>
  <si>
    <t>Apte</t>
  </si>
  <si>
    <t>10/01/2015</t>
  </si>
  <si>
    <t>Marié(e)</t>
  </si>
  <si>
    <t>Agent d'entretien et de securite</t>
  </si>
  <si>
    <t>Logistique</t>
  </si>
  <si>
    <t>2A</t>
  </si>
  <si>
    <t>II</t>
  </si>
  <si>
    <t>T00054</t>
  </si>
  <si>
    <t xml:space="preserve">RABENJANAHARY </t>
  </si>
  <si>
    <t>Andriniaina</t>
  </si>
  <si>
    <t>Chauffeur/coursier</t>
  </si>
  <si>
    <t xml:space="preserve">Lot 493 67Ha Sud </t>
  </si>
  <si>
    <t>21/10/1973</t>
  </si>
  <si>
    <t>Ranomafana</t>
  </si>
  <si>
    <t>101 211 121 412</t>
  </si>
  <si>
    <t>02/10/1992</t>
  </si>
  <si>
    <t>731 021 003 909</t>
  </si>
  <si>
    <t xml:space="preserve">RAZAFINDRABENJA Jean </t>
  </si>
  <si>
    <t xml:space="preserve">RASOARINIVO Jeannette </t>
  </si>
  <si>
    <t>T00075</t>
  </si>
  <si>
    <t xml:space="preserve">RAVALISON </t>
  </si>
  <si>
    <t>Murielle Holitiana</t>
  </si>
  <si>
    <t>Assistante de direction et juridique</t>
  </si>
  <si>
    <t>F</t>
  </si>
  <si>
    <t>06/11/2015</t>
  </si>
  <si>
    <t>Lot V9/1 Alasora Mahatsinjo</t>
  </si>
  <si>
    <t>IV</t>
  </si>
  <si>
    <t>29/03/1980</t>
  </si>
  <si>
    <t>Antananarivo</t>
  </si>
  <si>
    <t>101 222 074 218</t>
  </si>
  <si>
    <t>09/08/2000</t>
  </si>
  <si>
    <t>TANA II</t>
  </si>
  <si>
    <t>802 329 002 212</t>
  </si>
  <si>
    <t xml:space="preserve">RAVALISON Pascal Pièrre Salvator </t>
  </si>
  <si>
    <t xml:space="preserve">RAMANANTSALAMA Marie Sabine </t>
  </si>
  <si>
    <t xml:space="preserve">RAMANAMBE Haja </t>
  </si>
  <si>
    <t>T00183</t>
  </si>
  <si>
    <t xml:space="preserve">HENRI </t>
  </si>
  <si>
    <t>Angelo</t>
  </si>
  <si>
    <t>15/08/2016</t>
  </si>
  <si>
    <t>Lot III G 10 Antohomadinika</t>
  </si>
  <si>
    <t>034 60 069 90</t>
  </si>
  <si>
    <t>25/06/1986</t>
  </si>
  <si>
    <t>Farafangana</t>
  </si>
  <si>
    <t>209 011 029 652</t>
  </si>
  <si>
    <t>07/08/2004</t>
  </si>
  <si>
    <t>Mananjary</t>
  </si>
  <si>
    <t>860 625 004 425</t>
  </si>
  <si>
    <t>HENRI Walter</t>
  </si>
  <si>
    <t xml:space="preserve">NIRINA </t>
  </si>
  <si>
    <r>
      <rPr>
        <b/>
        <sz val="14"/>
        <color theme="1"/>
        <rFont val="Aptos Narrow"/>
        <family val="2"/>
        <scheme val="minor"/>
      </rPr>
      <t>*</t>
    </r>
    <r>
      <rPr>
        <sz val="14"/>
        <color theme="1"/>
        <rFont val="Aptos Narrow"/>
        <family val="2"/>
        <scheme val="minor"/>
      </rPr>
      <t>Assurez-vous de vérifier chaque colonne et de ne pas confondre ni modifier l'ordre de l'en-tête.</t>
    </r>
  </si>
  <si>
    <r>
      <rPr>
        <b/>
        <sz val="14"/>
        <color theme="1"/>
        <rFont val="Aptos Narrow"/>
        <family val="2"/>
        <scheme val="minor"/>
      </rPr>
      <t>**</t>
    </r>
    <r>
      <rPr>
        <sz val="14"/>
        <color theme="1"/>
        <rFont val="Aptos Narrow"/>
        <family val="2"/>
        <scheme val="minor"/>
      </rPr>
      <t xml:space="preserve">Vérifiez également que chaque date est au format </t>
    </r>
    <r>
      <rPr>
        <b/>
        <sz val="14"/>
        <color theme="1"/>
        <rFont val="Aptos Narrow"/>
        <family val="2"/>
        <scheme val="minor"/>
      </rPr>
      <t>jj/mm/aaaa</t>
    </r>
    <r>
      <rPr>
        <sz val="14"/>
        <color theme="1"/>
        <rFont val="Aptos Narrow"/>
        <family val="2"/>
        <scheme val="minor"/>
      </rPr>
      <t>, qui est le format préféré</t>
    </r>
  </si>
  <si>
    <r>
      <rPr>
        <b/>
        <sz val="14"/>
        <color theme="1"/>
        <rFont val="Aptos Narrow"/>
        <family val="2"/>
        <scheme val="minor"/>
      </rPr>
      <t>***</t>
    </r>
    <r>
      <rPr>
        <sz val="14"/>
        <color theme="1"/>
        <rFont val="Aptos Narrow"/>
        <family val="2"/>
        <scheme val="minor"/>
      </rPr>
      <t>N'oubliez pas de supprimer ces remarques avant d'intégrer vos données importées, car elles sont essentielles pour éviter des erreurs.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</si>
</sst>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Display"/>
      <family val="1"/>
      <scheme val="major"/>
    </font>
    <font>
      <b/>
      <sz val="11"/>
      <color theme="0"/>
      <name val="Aptos Display"/>
      <family val="2"/>
      <scheme val="major"/>
    </font>
    <font>
      <sz val="11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14" fontId="3" fillId="0" borderId="1" xfId="0" applyNumberFormat="1" applyFont="1" applyBorder="1"/>
    <xf numFmtId="14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40A8-AF62-4FA8-A3B9-A421602AD867}">
  <dimension ref="A1:BK11"/>
  <sheetViews>
    <sheetView tabSelected="1" workbookViewId="0">
      <selection activeCell="D13" sqref="D13"/>
    </sheetView>
  </sheetViews>
  <sheetFormatPr baseColWidth="10" defaultRowHeight="15" x14ac:dyDescent="0.25"/>
  <cols>
    <col min="1" max="1" width="15" customWidth="1"/>
    <col min="2" max="2" width="32.85546875" style="1" bestFit="1" customWidth="1"/>
    <col min="3" max="3" width="42.28515625" style="1" bestFit="1" customWidth="1"/>
    <col min="4" max="4" width="55.7109375" style="1" customWidth="1"/>
    <col min="5" max="5" width="23.85546875" customWidth="1"/>
    <col min="7" max="7" width="11.42578125" style="2"/>
    <col min="8" max="8" width="17.7109375" style="31" customWidth="1"/>
    <col min="9" max="9" width="26.5703125" customWidth="1"/>
    <col min="10" max="10" width="14.28515625" style="2" customWidth="1"/>
    <col min="11" max="11" width="8.85546875" style="2" customWidth="1"/>
    <col min="12" max="12" width="51.85546875" customWidth="1"/>
    <col min="13" max="13" width="26" style="3" customWidth="1"/>
    <col min="14" max="14" width="16.85546875" style="2" customWidth="1"/>
    <col min="15" max="15" width="15.85546875" customWidth="1"/>
    <col min="16" max="16" width="22.42578125" customWidth="1"/>
    <col min="17" max="17" width="13.140625" customWidth="1"/>
    <col min="18" max="18" width="18.5703125" customWidth="1"/>
    <col min="19" max="19" width="34.28515625" style="4" customWidth="1"/>
    <col min="20" max="20" width="15.7109375" customWidth="1"/>
    <col min="21" max="21" width="15.5703125" customWidth="1"/>
    <col min="22" max="22" width="15.85546875" customWidth="1"/>
    <col min="23" max="23" width="24.5703125" customWidth="1"/>
    <col min="24" max="24" width="21" customWidth="1"/>
    <col min="26" max="26" width="49.140625" customWidth="1"/>
    <col min="27" max="27" width="26.85546875" bestFit="1" customWidth="1"/>
    <col min="28" max="28" width="39.140625" bestFit="1" customWidth="1"/>
    <col min="29" max="29" width="48" bestFit="1" customWidth="1"/>
    <col min="30" max="30" width="53.85546875" bestFit="1" customWidth="1"/>
    <col min="31" max="31" width="13.5703125" style="2" customWidth="1"/>
    <col min="32" max="32" width="55.5703125" bestFit="1" customWidth="1"/>
    <col min="33" max="33" width="13.85546875" customWidth="1"/>
    <col min="34" max="34" width="47.7109375" bestFit="1" customWidth="1"/>
    <col min="35" max="35" width="16.7109375" customWidth="1"/>
    <col min="36" max="36" width="8.42578125" customWidth="1"/>
    <col min="37" max="37" width="47.7109375" bestFit="1" customWidth="1"/>
    <col min="40" max="40" width="49.140625" bestFit="1" customWidth="1"/>
    <col min="43" max="43" width="35.5703125" bestFit="1" customWidth="1"/>
    <col min="46" max="46" width="38.42578125" bestFit="1" customWidth="1"/>
    <col min="49" max="49" width="11.42578125" style="31"/>
    <col min="51" max="51" width="11.42578125" style="31"/>
    <col min="53" max="53" width="19.28515625" customWidth="1"/>
    <col min="54" max="54" width="11.28515625" customWidth="1"/>
    <col min="55" max="55" width="16.42578125" customWidth="1"/>
    <col min="56" max="56" width="17.85546875" customWidth="1"/>
    <col min="57" max="57" width="14.42578125" customWidth="1"/>
    <col min="59" max="59" width="9.140625" customWidth="1"/>
    <col min="61" max="61" width="22.42578125" customWidth="1"/>
    <col min="62" max="62" width="11.28515625" customWidth="1"/>
    <col min="63" max="63" width="14.5703125" hidden="1" customWidth="1"/>
  </cols>
  <sheetData>
    <row r="1" spans="1:63" s="19" customFormat="1" ht="30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0" t="s">
        <v>11</v>
      </c>
      <c r="M1" s="11" t="s">
        <v>12</v>
      </c>
      <c r="N1" s="7" t="s">
        <v>13</v>
      </c>
      <c r="O1" s="7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2" t="s">
        <v>20</v>
      </c>
      <c r="V1" s="13" t="s">
        <v>21</v>
      </c>
      <c r="W1" s="13" t="s">
        <v>22</v>
      </c>
      <c r="X1" s="14" t="s">
        <v>23</v>
      </c>
      <c r="Y1" s="10" t="s">
        <v>24</v>
      </c>
      <c r="Z1" s="15" t="s">
        <v>25</v>
      </c>
      <c r="AA1" s="15" t="s">
        <v>26</v>
      </c>
      <c r="AB1" s="15" t="s">
        <v>27</v>
      </c>
      <c r="AC1" s="7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6" t="s">
        <v>34</v>
      </c>
      <c r="AJ1" s="10" t="s">
        <v>35</v>
      </c>
      <c r="AK1" s="10" t="s">
        <v>33</v>
      </c>
      <c r="AL1" s="16" t="s">
        <v>34</v>
      </c>
      <c r="AM1" s="10" t="s">
        <v>35</v>
      </c>
      <c r="AN1" s="10" t="s">
        <v>33</v>
      </c>
      <c r="AO1" s="16" t="s">
        <v>34</v>
      </c>
      <c r="AP1" s="10" t="s">
        <v>35</v>
      </c>
      <c r="AQ1" s="10" t="s">
        <v>33</v>
      </c>
      <c r="AR1" s="16" t="s">
        <v>34</v>
      </c>
      <c r="AS1" s="10" t="s">
        <v>35</v>
      </c>
      <c r="AT1" s="10" t="s">
        <v>33</v>
      </c>
      <c r="AU1" s="16" t="s">
        <v>34</v>
      </c>
      <c r="AV1" s="10" t="s">
        <v>35</v>
      </c>
      <c r="AW1" s="17" t="s">
        <v>36</v>
      </c>
      <c r="AX1" s="17" t="s">
        <v>37</v>
      </c>
      <c r="AY1" s="17" t="s">
        <v>38</v>
      </c>
      <c r="AZ1" s="17" t="s">
        <v>39</v>
      </c>
      <c r="BA1" s="17" t="s">
        <v>40</v>
      </c>
      <c r="BB1" s="17" t="s">
        <v>41</v>
      </c>
      <c r="BC1" s="18" t="s">
        <v>42</v>
      </c>
      <c r="BD1" s="18" t="s">
        <v>43</v>
      </c>
      <c r="BE1" s="18" t="s">
        <v>36</v>
      </c>
      <c r="BF1" s="18" t="s">
        <v>37</v>
      </c>
      <c r="BG1" s="18" t="s">
        <v>38</v>
      </c>
      <c r="BH1" s="18" t="s">
        <v>39</v>
      </c>
      <c r="BI1" s="18" t="s">
        <v>44</v>
      </c>
      <c r="BJ1" s="18" t="s">
        <v>41</v>
      </c>
      <c r="BK1" s="8" t="s">
        <v>45</v>
      </c>
    </row>
    <row r="2" spans="1:63" x14ac:dyDescent="0.25">
      <c r="A2" s="5" t="s">
        <v>59</v>
      </c>
      <c r="B2" s="20" t="s">
        <v>60</v>
      </c>
      <c r="C2" s="20" t="s">
        <v>61</v>
      </c>
      <c r="D2" s="20" t="s">
        <v>62</v>
      </c>
      <c r="E2" s="20" t="s">
        <v>56</v>
      </c>
      <c r="F2" s="21" t="s">
        <v>47</v>
      </c>
      <c r="G2" s="22" t="str">
        <f t="shared" ref="G2:G4" si="0">IF(F2="M","Monsieur","Madame")</f>
        <v>Monsieur</v>
      </c>
      <c r="H2" s="23" t="s">
        <v>53</v>
      </c>
      <c r="I2" s="24" t="str">
        <f t="shared" ref="I2:I4" ca="1" si="1">IF(DATEDIF(H2,TODAY(),"Y")=0,"",DATEDIF(H2,TODAY(),"Y")&amp;" ans ")&amp;IF(DATEDIF(H2,TODAY(),"YM")=0,"",DATEDIF(H2,TODAY(),"YM")&amp;" mois ")&amp;IF(DATEDIF(H2,TODAY(),"MD")=0,"",DATEDIF(H2,TODAY(),"MD")&amp;" jours")</f>
        <v>10 ans 2 mois 17 jours</v>
      </c>
      <c r="J2" s="25"/>
      <c r="K2" s="21"/>
      <c r="L2" s="24" t="s">
        <v>63</v>
      </c>
      <c r="M2" s="20"/>
      <c r="N2" s="22" t="s">
        <v>48</v>
      </c>
      <c r="O2" s="21" t="s">
        <v>57</v>
      </c>
      <c r="P2" s="22" t="s">
        <v>50</v>
      </c>
      <c r="Q2" s="22" t="s">
        <v>58</v>
      </c>
      <c r="R2" s="23" t="s">
        <v>64</v>
      </c>
      <c r="S2" s="20" t="s">
        <v>65</v>
      </c>
      <c r="T2" s="26">
        <f t="shared" ref="T2:T4" ca="1" si="2">DATEDIF(R2,TODAY(),"Y")</f>
        <v>51</v>
      </c>
      <c r="U2" s="26" t="s">
        <v>66</v>
      </c>
      <c r="V2" s="23" t="s">
        <v>67</v>
      </c>
      <c r="W2" s="27" t="s">
        <v>51</v>
      </c>
      <c r="X2" s="26" t="s">
        <v>68</v>
      </c>
      <c r="Y2" s="24" t="s">
        <v>52</v>
      </c>
      <c r="Z2" s="24"/>
      <c r="AA2" s="24"/>
      <c r="AB2" s="24"/>
      <c r="AC2" s="28" t="s">
        <v>69</v>
      </c>
      <c r="AD2" s="29" t="s">
        <v>70</v>
      </c>
      <c r="AE2" s="22" t="s">
        <v>54</v>
      </c>
      <c r="AF2" s="20"/>
      <c r="AG2" s="22"/>
      <c r="AH2" s="20"/>
      <c r="AI2" s="22"/>
      <c r="AJ2" s="22"/>
      <c r="AK2" s="20"/>
      <c r="AL2" s="22"/>
      <c r="AM2" s="22"/>
      <c r="AN2" s="20"/>
      <c r="AO2" s="22"/>
      <c r="AP2" s="22"/>
      <c r="AQ2" s="20"/>
      <c r="AR2" s="22"/>
      <c r="AS2" s="22"/>
      <c r="AT2" s="20"/>
      <c r="AU2" s="22"/>
      <c r="AV2" s="22"/>
      <c r="AW2" s="30"/>
      <c r="AX2" s="29"/>
      <c r="AY2" s="30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</row>
    <row r="3" spans="1:63" x14ac:dyDescent="0.25">
      <c r="A3" s="5" t="s">
        <v>71</v>
      </c>
      <c r="B3" s="20" t="s">
        <v>72</v>
      </c>
      <c r="C3" s="20" t="s">
        <v>73</v>
      </c>
      <c r="D3" s="20" t="s">
        <v>74</v>
      </c>
      <c r="E3" s="20" t="s">
        <v>46</v>
      </c>
      <c r="F3" s="21" t="s">
        <v>75</v>
      </c>
      <c r="G3" s="22" t="str">
        <f t="shared" si="0"/>
        <v>Madame</v>
      </c>
      <c r="H3" s="23" t="s">
        <v>76</v>
      </c>
      <c r="I3" s="24" t="str">
        <f t="shared" ca="1" si="1"/>
        <v>9 ans 4 mois 21 jours</v>
      </c>
      <c r="J3" s="25"/>
      <c r="K3" s="21"/>
      <c r="L3" s="24" t="s">
        <v>77</v>
      </c>
      <c r="M3" s="20"/>
      <c r="N3" s="22" t="s">
        <v>48</v>
      </c>
      <c r="O3" s="21" t="s">
        <v>49</v>
      </c>
      <c r="P3" s="22" t="s">
        <v>50</v>
      </c>
      <c r="Q3" s="22" t="s">
        <v>78</v>
      </c>
      <c r="R3" s="23" t="s">
        <v>79</v>
      </c>
      <c r="S3" s="20" t="s">
        <v>80</v>
      </c>
      <c r="T3" s="26">
        <f t="shared" ca="1" si="2"/>
        <v>44</v>
      </c>
      <c r="U3" s="26" t="s">
        <v>81</v>
      </c>
      <c r="V3" s="23" t="s">
        <v>82</v>
      </c>
      <c r="W3" s="27" t="s">
        <v>83</v>
      </c>
      <c r="X3" s="26" t="s">
        <v>84</v>
      </c>
      <c r="Y3" s="24" t="s">
        <v>52</v>
      </c>
      <c r="Z3" s="24"/>
      <c r="AA3" s="24"/>
      <c r="AB3" s="24"/>
      <c r="AC3" s="28" t="s">
        <v>85</v>
      </c>
      <c r="AD3" s="29" t="s">
        <v>86</v>
      </c>
      <c r="AE3" s="22" t="s">
        <v>54</v>
      </c>
      <c r="AF3" s="20" t="s">
        <v>87</v>
      </c>
      <c r="AG3" s="22"/>
      <c r="AH3" s="20"/>
      <c r="AI3" s="22"/>
      <c r="AJ3" s="22"/>
      <c r="AK3" s="20"/>
      <c r="AL3" s="22"/>
      <c r="AM3" s="22"/>
      <c r="AN3" s="20"/>
      <c r="AO3" s="22"/>
      <c r="AP3" s="22"/>
      <c r="AQ3" s="20"/>
      <c r="AR3" s="22"/>
      <c r="AS3" s="22"/>
      <c r="AT3" s="20"/>
      <c r="AU3" s="22"/>
      <c r="AV3" s="22"/>
      <c r="AW3" s="30"/>
      <c r="AX3" s="29"/>
      <c r="AY3" s="30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</row>
    <row r="4" spans="1:63" x14ac:dyDescent="0.25">
      <c r="A4" s="5" t="s">
        <v>88</v>
      </c>
      <c r="B4" s="20" t="s">
        <v>89</v>
      </c>
      <c r="C4" s="20" t="s">
        <v>90</v>
      </c>
      <c r="D4" s="20" t="s">
        <v>55</v>
      </c>
      <c r="E4" s="20" t="s">
        <v>56</v>
      </c>
      <c r="F4" s="21" t="s">
        <v>47</v>
      </c>
      <c r="G4" s="22" t="str">
        <f t="shared" si="0"/>
        <v>Monsieur</v>
      </c>
      <c r="H4" s="23" t="s">
        <v>91</v>
      </c>
      <c r="I4" s="24" t="str">
        <f t="shared" ca="1" si="1"/>
        <v>8 ans 7 mois 12 jours</v>
      </c>
      <c r="J4" s="25"/>
      <c r="K4" s="21"/>
      <c r="L4" s="24" t="s">
        <v>92</v>
      </c>
      <c r="M4" s="20" t="s">
        <v>93</v>
      </c>
      <c r="N4" s="22" t="s">
        <v>48</v>
      </c>
      <c r="O4" s="21" t="s">
        <v>57</v>
      </c>
      <c r="P4" s="22" t="s">
        <v>50</v>
      </c>
      <c r="Q4" s="22" t="s">
        <v>58</v>
      </c>
      <c r="R4" s="23" t="s">
        <v>94</v>
      </c>
      <c r="S4" s="20" t="s">
        <v>95</v>
      </c>
      <c r="T4" s="26">
        <f t="shared" ca="1" si="2"/>
        <v>38</v>
      </c>
      <c r="U4" s="26" t="s">
        <v>96</v>
      </c>
      <c r="V4" s="23" t="s">
        <v>97</v>
      </c>
      <c r="W4" s="27" t="s">
        <v>98</v>
      </c>
      <c r="X4" s="26" t="s">
        <v>99</v>
      </c>
      <c r="Y4" s="24" t="s">
        <v>52</v>
      </c>
      <c r="Z4" s="24"/>
      <c r="AA4" s="24"/>
      <c r="AB4" s="24"/>
      <c r="AC4" s="28" t="s">
        <v>100</v>
      </c>
      <c r="AD4" s="29" t="s">
        <v>101</v>
      </c>
      <c r="AE4" s="22"/>
      <c r="AF4" s="20"/>
      <c r="AG4" s="22"/>
      <c r="AH4" s="20"/>
      <c r="AI4" s="22"/>
      <c r="AJ4" s="22"/>
      <c r="AK4" s="20"/>
      <c r="AL4" s="22"/>
      <c r="AM4" s="22"/>
      <c r="AN4" s="20"/>
      <c r="AO4" s="22"/>
      <c r="AP4" s="22"/>
      <c r="AQ4" s="20"/>
      <c r="AR4" s="22"/>
      <c r="AS4" s="22"/>
      <c r="AT4" s="20"/>
      <c r="AU4" s="22"/>
      <c r="AV4" s="22"/>
      <c r="AW4" s="30"/>
      <c r="AX4" s="29"/>
      <c r="AY4" s="30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</row>
    <row r="9" spans="1:63" ht="18.75" x14ac:dyDescent="0.3">
      <c r="A9" s="32" t="s">
        <v>41</v>
      </c>
      <c r="B9" s="33" t="s">
        <v>102</v>
      </c>
      <c r="C9" s="33"/>
      <c r="D9" s="33"/>
    </row>
    <row r="10" spans="1:63" ht="18.75" x14ac:dyDescent="0.3">
      <c r="A10" s="34"/>
      <c r="B10" s="34" t="s">
        <v>103</v>
      </c>
      <c r="C10" s="33"/>
      <c r="D10" s="33"/>
    </row>
    <row r="11" spans="1:63" ht="18.75" x14ac:dyDescent="0.3">
      <c r="A11" s="34"/>
      <c r="B11" s="34" t="s">
        <v>104</v>
      </c>
      <c r="C11" s="33"/>
      <c r="D11" s="33"/>
    </row>
  </sheetData>
  <conditionalFormatting sqref="J1:K1048576">
    <cfRule type="duplicateValues" dxfId="9" priority="29"/>
  </conditionalFormatting>
  <conditionalFormatting sqref="AC2:AD4">
    <cfRule type="duplicateValues" dxfId="8" priority="49"/>
  </conditionalFormatting>
  <conditionalFormatting sqref="L2:L4">
    <cfRule type="duplicateValues" dxfId="7" priority="50"/>
  </conditionalFormatting>
  <conditionalFormatting sqref="Z2:Z4">
    <cfRule type="duplicateValues" dxfId="6" priority="51"/>
  </conditionalFormatting>
  <conditionalFormatting sqref="AD2:AD4">
    <cfRule type="duplicateValues" dxfId="5" priority="52"/>
  </conditionalFormatting>
  <conditionalFormatting sqref="AH2:AH4">
    <cfRule type="duplicateValues" dxfId="4" priority="53"/>
  </conditionalFormatting>
  <conditionalFormatting sqref="AK2:AK4">
    <cfRule type="duplicateValues" dxfId="3" priority="54"/>
  </conditionalFormatting>
  <conditionalFormatting sqref="AN2:AN4">
    <cfRule type="duplicateValues" dxfId="2" priority="55"/>
  </conditionalFormatting>
  <conditionalFormatting sqref="AQ2:AQ4">
    <cfRule type="duplicateValues" dxfId="1" priority="56"/>
  </conditionalFormatting>
  <conditionalFormatting sqref="AT2:AT4">
    <cfRule type="duplicateValues" dxfId="0" priority="5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TOLOTRA .</dc:creator>
  <cp:lastModifiedBy>TOLOTRA .</cp:lastModifiedBy>
  <dcterms:created xsi:type="dcterms:W3CDTF">2025-03-27T07:24:24Z</dcterms:created>
  <dcterms:modified xsi:type="dcterms:W3CDTF">2025-03-27T11:20:31Z</dcterms:modified>
</cp:coreProperties>
</file>